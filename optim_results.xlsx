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desktop-tutorial\"/>
    </mc:Choice>
  </mc:AlternateContent>
  <xr:revisionPtr revIDLastSave="0" documentId="13_ncr:1_{A6392540-163C-4A25-9DCD-0F6C4D894491}" xr6:coauthVersionLast="47" xr6:coauthVersionMax="47" xr10:uidLastSave="{00000000-0000-0000-0000-000000000000}"/>
  <bookViews>
    <workbookView xWindow="-120" yWindow="-120" windowWidth="29040" windowHeight="15720" activeTab="1" xr2:uid="{350978A1-BF14-4745-982C-7D354B8D03B7}"/>
  </bookViews>
  <sheets>
    <sheet name="1d" sheetId="1" r:id="rId1"/>
    <sheet name="2d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E12" i="2"/>
  <c r="E10" i="2"/>
  <c r="D10" i="2" s="1"/>
  <c r="D13" i="2" s="1"/>
  <c r="C18" i="2"/>
  <c r="C19" i="2"/>
  <c r="C17" i="2"/>
  <c r="B18" i="2"/>
  <c r="B19" i="2"/>
  <c r="B11" i="2"/>
  <c r="B13" i="2" s="1"/>
  <c r="B17" i="2" s="1"/>
  <c r="C13" i="2"/>
  <c r="C6" i="2"/>
  <c r="D6" i="2"/>
  <c r="E6" i="2"/>
  <c r="B6" i="2"/>
  <c r="P3" i="1"/>
  <c r="P4" i="1"/>
  <c r="P5" i="1"/>
  <c r="P2" i="1"/>
  <c r="O6" i="1"/>
  <c r="N6" i="1"/>
  <c r="K2" i="1"/>
  <c r="L2" i="1" s="1"/>
  <c r="M2" i="1" s="1"/>
  <c r="D6" i="1"/>
  <c r="C6" i="1"/>
  <c r="E3" i="1" s="1"/>
  <c r="F3" i="1" s="1"/>
  <c r="B6" i="1"/>
  <c r="E13" i="2" l="1"/>
  <c r="E17" i="2" s="1"/>
  <c r="D18" i="2"/>
  <c r="D19" i="2"/>
  <c r="D17" i="2"/>
  <c r="C20" i="2"/>
  <c r="B20" i="2"/>
  <c r="P6" i="1"/>
  <c r="G3" i="1"/>
  <c r="H3" i="1"/>
  <c r="E2" i="1"/>
  <c r="G2" i="1" s="1"/>
  <c r="E5" i="1"/>
  <c r="E4" i="1"/>
  <c r="E18" i="2" l="1"/>
  <c r="E19" i="2"/>
  <c r="D20" i="2"/>
  <c r="F4" i="1"/>
  <c r="H4" i="1" s="1"/>
  <c r="G4" i="1"/>
  <c r="F5" i="1"/>
  <c r="H5" i="1" s="1"/>
  <c r="G5" i="1"/>
  <c r="G6" i="1" s="1"/>
  <c r="F2" i="1"/>
  <c r="E6" i="1"/>
  <c r="E20" i="2" l="1"/>
  <c r="I2" i="1"/>
  <c r="I6" i="1" s="1"/>
  <c r="F6" i="1"/>
  <c r="H2" i="1"/>
  <c r="H6" i="1" l="1"/>
  <c r="J3" i="1"/>
  <c r="J4" i="1"/>
  <c r="K4" i="1" s="1"/>
  <c r="L4" i="1" s="1"/>
  <c r="M4" i="1" s="1"/>
  <c r="J5" i="1"/>
  <c r="K5" i="1" s="1"/>
  <c r="L5" i="1" s="1"/>
  <c r="M5" i="1" s="1"/>
  <c r="J6" i="1" l="1"/>
  <c r="K6" i="1" s="1"/>
  <c r="K3" i="1"/>
  <c r="L3" i="1" s="1"/>
  <c r="M3" i="1" s="1"/>
  <c r="M6" i="1" s="1"/>
</calcChain>
</file>

<file path=xl/sharedStrings.xml><?xml version="1.0" encoding="utf-8"?>
<sst xmlns="http://schemas.openxmlformats.org/spreadsheetml/2006/main" count="58" uniqueCount="49">
  <si>
    <t>values</t>
  </si>
  <si>
    <t>pattern</t>
  </si>
  <si>
    <t>Total adjustment</t>
  </si>
  <si>
    <t>Adjusted value</t>
  </si>
  <si>
    <t>Negative diff</t>
  </si>
  <si>
    <t>count_positive</t>
  </si>
  <si>
    <t>Re-adgisted</t>
  </si>
  <si>
    <t>Adjustment value</t>
  </si>
  <si>
    <t>Normalised adjustment value</t>
  </si>
  <si>
    <t>Squared</t>
  </si>
  <si>
    <t>Apportioned adjustnent</t>
  </si>
  <si>
    <t>adj_opt</t>
  </si>
  <si>
    <t>value_opt</t>
  </si>
  <si>
    <t>squared_opt</t>
  </si>
  <si>
    <t>index</t>
  </si>
  <si>
    <t>LSOA 1</t>
  </si>
  <si>
    <t>LSOA 2</t>
  </si>
  <si>
    <t>LSOA 3</t>
  </si>
  <si>
    <t>LAD</t>
  </si>
  <si>
    <t>Raw</t>
  </si>
  <si>
    <t>Outliers imputed</t>
  </si>
  <si>
    <t>Re-normalised to LADs</t>
  </si>
  <si>
    <t>Values</t>
  </si>
  <si>
    <t>V_ij</t>
  </si>
  <si>
    <t>LAD total, by year</t>
  </si>
  <si>
    <t>T_j = sum_i(V_ij)</t>
  </si>
  <si>
    <t>Adjustments</t>
  </si>
  <si>
    <t>X_ij</t>
  </si>
  <si>
    <t>Inputs</t>
  </si>
  <si>
    <t>Constraints</t>
  </si>
  <si>
    <t>Total LAS is conserved</t>
  </si>
  <si>
    <t>sum_i(X_ij) = 0.</t>
  </si>
  <si>
    <t>Non-negativity</t>
  </si>
  <si>
    <t>V_ij + X_ij &gt;= 0</t>
  </si>
  <si>
    <t>Objective function</t>
  </si>
  <si>
    <t>Outlier flags</t>
  </si>
  <si>
    <t>F_ij = True or False</t>
  </si>
  <si>
    <t>Minimise non-outlier adjustment</t>
  </si>
  <si>
    <t>X_ij*(1-F_ij)</t>
  </si>
  <si>
    <t>Minimise curvsture</t>
  </si>
  <si>
    <t xml:space="preserve">W_{i, j-1} - 2W_i, j +  W_{i, j+1} </t>
  </si>
  <si>
    <t>W = V + X</t>
  </si>
  <si>
    <t>if one of the three is an outlier</t>
  </si>
  <si>
    <t>Define constraints</t>
  </si>
  <si>
    <t>Define Objective</t>
  </si>
  <si>
    <t>Solve</t>
  </si>
  <si>
    <t>Destandardise</t>
  </si>
  <si>
    <t>Combine with weights p and (1-p)</t>
  </si>
  <si>
    <t>Standardise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</si>
</sst>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4" x14ac:knownFonts="1">
    <font>
      <sz val="12"/>
      <color theme="1"/>
      <name val="Arial"/>
      <family val="2"/>
    </font>
    <font>
      <sz val="11"/>
      <color rgb="FF292929"/>
      <name val="Consolas"/>
      <family val="3"/>
    </font>
    <font>
      <b/>
      <sz val="12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2" xfId="0" applyNumberFormat="1" applyBorder="1"/>
    <xf numFmtId="2" fontId="0" fillId="0" borderId="0" xfId="0" applyNumberFormat="1" applyFill="1" applyBorder="1"/>
    <xf numFmtId="2" fontId="1" fillId="0" borderId="0" xfId="0" applyNumberFormat="1" applyFont="1"/>
    <xf numFmtId="2" fontId="0" fillId="0" borderId="0" xfId="0" applyNumberFormat="1"/>
    <xf numFmtId="2" fontId="0" fillId="0" borderId="3" xfId="0" applyNumberFormat="1" applyBorder="1"/>
    <xf numFmtId="164" fontId="0" fillId="0" borderId="0" xfId="0" applyNumberFormat="1"/>
    <xf numFmtId="164" fontId="0" fillId="0" borderId="1" xfId="0" applyNumberFormat="1" applyBorder="1"/>
    <xf numFmtId="164" fontId="0" fillId="0" borderId="0" xfId="0" applyNumberFormat="1" applyFill="1" applyBorder="1"/>
    <xf numFmtId="0" fontId="0" fillId="0" borderId="0" xfId="0" applyFill="1" applyBorder="1"/>
    <xf numFmtId="0" fontId="1" fillId="0" borderId="0" xfId="0" applyFont="1"/>
    <xf numFmtId="0" fontId="0" fillId="2" borderId="0" xfId="0" applyFill="1"/>
    <xf numFmtId="2" fontId="1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'1d'!$B$1</c:f>
              <c:strCache>
                <c:ptCount val="1"/>
                <c:pt idx="0">
                  <c:v>values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'1d'!$A$2:$A$5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'1d'!$B$2:$B$5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6A-4C8B-B6B3-65D2E2485AFA}"/>
            </c:ext>
          </c:extLst>
        </c:ser>
        <c:ser>
          <c:idx val="1"/>
          <c:order val="1"/>
          <c:tx>
            <c:strRef>
              <c:f>'1d'!$F$1</c:f>
              <c:strCache>
                <c:ptCount val="1"/>
                <c:pt idx="0">
                  <c:v>Adjusted value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'1d'!$A$2:$A$5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'1d'!$F$2:$F$5</c:f>
              <c:numCache>
                <c:formatCode>General</c:formatCode>
                <c:ptCount val="4"/>
                <c:pt idx="0">
                  <c:v>-0.35000000000000009</c:v>
                </c:pt>
                <c:pt idx="1">
                  <c:v>3.8</c:v>
                </c:pt>
                <c:pt idx="2">
                  <c:v>4.7</c:v>
                </c:pt>
                <c:pt idx="3">
                  <c:v>6.85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6A-4C8B-B6B3-65D2E2485AFA}"/>
            </c:ext>
          </c:extLst>
        </c:ser>
        <c:ser>
          <c:idx val="2"/>
          <c:order val="2"/>
          <c:tx>
            <c:strRef>
              <c:f>'1d'!$J$1</c:f>
              <c:strCache>
                <c:ptCount val="1"/>
                <c:pt idx="0">
                  <c:v>Re-adgisted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'1d'!$A$2:$A$5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'1d'!$J$2:$J$5</c:f>
              <c:numCache>
                <c:formatCode>General</c:formatCode>
                <c:ptCount val="4"/>
                <c:pt idx="0">
                  <c:v>0</c:v>
                </c:pt>
                <c:pt idx="1">
                  <c:v>3.6833333333333331</c:v>
                </c:pt>
                <c:pt idx="2">
                  <c:v>4.5833333333333339</c:v>
                </c:pt>
                <c:pt idx="3">
                  <c:v>6.7333333333333325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6A-4C8B-B6B3-65D2E2485AFA}"/>
            </c:ext>
          </c:extLst>
        </c:ser>
        <c:ser>
          <c:idx val="3"/>
          <c:order val="3"/>
          <c:tx>
            <c:strRef>
              <c:f>'1d'!$O$1</c:f>
              <c:strCache>
                <c:ptCount val="1"/>
                <c:pt idx="0">
                  <c:v>value_opt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'1d'!$A$2:$A$5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'1d'!$O$2:$O$5</c:f>
              <c:numCache>
                <c:formatCode>0.00</c:formatCode>
                <c:ptCount val="4"/>
                <c:pt idx="0">
                  <c:v>1.3410221000000001E-7</c:v>
                </c:pt>
                <c:pt idx="1">
                  <c:v>3.68493146</c:v>
                </c:pt>
                <c:pt idx="2">
                  <c:v>4.5753424200000001</c:v>
                </c:pt>
                <c:pt idx="3">
                  <c:v>6.7397259900000002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86A-4C8B-B6B3-65D2E2485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582944"/>
        <c:axId val="650581984"/>
      </c:scatterChart>
      <c:valAx>
        <c:axId val="65058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81984"/>
        <c:crosses val="autoZero"/>
        <c:crossBetween val="midCat"/>
      </c:valAx>
      <c:valAx>
        <c:axId val="65058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582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466724</xdr:colOff>
      <xdr:row>8</xdr:row>
      <xdr:rowOff>85725</xdr:rowOff>
    </xdr:from>
    <xdr:to>
      <xdr:col>11</xdr:col>
      <xdr:colOff>1171574</xdr:colOff>
      <xdr:row>29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38B6F-F56D-72FA-A0C4-31770F995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DE98-CA00-4465-B849-04D6668E1438}">
  <dimension ref="A1:P6"/>
  <sheetViews>
    <sheetView workbookViewId="0">
      <selection activeCell="P13" sqref="P13"/>
    </sheetView>
  </sheetViews>
  <sheetFormatPr defaultRowHeight="15" x14ac:dyDescent="0.2"/>
  <cols>
    <col min="4" max="4" width="13.6640625" bestFit="1" customWidth="1"/>
    <col min="5" max="5" width="18.88671875" bestFit="1" customWidth="1"/>
    <col min="6" max="6" width="12.21875" bestFit="1" customWidth="1"/>
    <col min="7" max="7" width="12.21875" style="9" customWidth="1"/>
    <col min="8" max="8" width="10.6640625" style="2" bestFit="1" customWidth="1"/>
    <col min="9" max="9" width="12.109375" bestFit="1" customWidth="1"/>
    <col min="10" max="10" width="10.5546875" bestFit="1" customWidth="1"/>
    <col min="11" max="11" width="14.109375" bestFit="1" customWidth="1"/>
    <col min="12" max="12" width="23.44140625" bestFit="1" customWidth="1"/>
    <col min="13" max="13" width="10.21875" style="9" bestFit="1" customWidth="1"/>
    <col min="14" max="14" width="11.5546875" style="4" bestFit="1" customWidth="1"/>
    <col min="15" max="15" width="8.88671875" style="7"/>
    <col min="16" max="16" width="10.21875" style="9" bestFit="1" customWidth="1"/>
  </cols>
  <sheetData>
    <row r="1" spans="1:16" x14ac:dyDescent="0.2">
      <c r="A1" t="s">
        <v>14</v>
      </c>
      <c r="B1" t="s">
        <v>0</v>
      </c>
      <c r="C1" t="s">
        <v>1</v>
      </c>
      <c r="D1" t="s">
        <v>2</v>
      </c>
      <c r="E1" t="s">
        <v>10</v>
      </c>
      <c r="F1" t="s">
        <v>3</v>
      </c>
      <c r="G1" s="9" t="s">
        <v>9</v>
      </c>
      <c r="H1" s="2" t="s">
        <v>4</v>
      </c>
      <c r="I1" t="s">
        <v>5</v>
      </c>
      <c r="J1" t="s">
        <v>6</v>
      </c>
      <c r="K1" t="s">
        <v>7</v>
      </c>
      <c r="L1" t="s">
        <v>8</v>
      </c>
      <c r="M1" s="9" t="s">
        <v>9</v>
      </c>
      <c r="N1" s="4" t="s">
        <v>11</v>
      </c>
      <c r="O1" s="5" t="s">
        <v>12</v>
      </c>
      <c r="P1" s="11" t="s">
        <v>13</v>
      </c>
    </row>
    <row r="2" spans="1:16" ht="15.75" x14ac:dyDescent="0.25">
      <c r="A2">
        <v>0</v>
      </c>
      <c r="B2">
        <v>1</v>
      </c>
      <c r="C2">
        <v>27</v>
      </c>
      <c r="D2">
        <v>-5</v>
      </c>
      <c r="E2">
        <f>D$2*C2/C$6</f>
        <v>-1.35</v>
      </c>
      <c r="F2">
        <f>B2+E2</f>
        <v>-0.35000000000000009</v>
      </c>
      <c r="G2" s="9">
        <f>(E2/C2)^2</f>
        <v>2.5000000000000005E-3</v>
      </c>
      <c r="H2" s="2">
        <f>IF(F2&lt;0, -F2, 0)</f>
        <v>0.35000000000000009</v>
      </c>
      <c r="I2">
        <f>COUNTIF(F2:F5, "&gt;0")</f>
        <v>3</v>
      </c>
      <c r="J2">
        <v>0</v>
      </c>
      <c r="K2">
        <f>J2-B2</f>
        <v>-1</v>
      </c>
      <c r="L2">
        <f>K2/C2</f>
        <v>-3.7037037037037035E-2</v>
      </c>
      <c r="M2" s="9">
        <f>L2^2</f>
        <v>1.3717421124828531E-3</v>
      </c>
      <c r="N2" s="6">
        <v>-0.99999987000000001</v>
      </c>
      <c r="O2" s="7">
        <v>1.3410221000000001E-7</v>
      </c>
      <c r="P2" s="9">
        <f>(N2/C2)^2</f>
        <v>1.3717417558299274E-3</v>
      </c>
    </row>
    <row r="3" spans="1:16" ht="15.75" x14ac:dyDescent="0.25">
      <c r="A3">
        <v>1</v>
      </c>
      <c r="B3">
        <v>5</v>
      </c>
      <c r="C3">
        <v>24</v>
      </c>
      <c r="E3">
        <f t="shared" ref="E3:E5" si="0">D$2*C3/C$6</f>
        <v>-1.2</v>
      </c>
      <c r="F3">
        <f t="shared" ref="F3:F5" si="1">B3+E3</f>
        <v>3.8</v>
      </c>
      <c r="G3" s="9">
        <f t="shared" ref="G3:G5" si="2">(E3/C3)^2</f>
        <v>2.4999999999999996E-3</v>
      </c>
      <c r="H3" s="2">
        <f t="shared" ref="H3:H5" si="3">IF(F3&lt;0, -F3, 0)</f>
        <v>0</v>
      </c>
      <c r="J3">
        <f>F3-H$2/I$2</f>
        <v>3.6833333333333331</v>
      </c>
      <c r="K3">
        <f t="shared" ref="K3:K6" si="4">J3-B3</f>
        <v>-1.3166666666666669</v>
      </c>
      <c r="L3">
        <f t="shared" ref="L3:L5" si="5">K3/C3</f>
        <v>-5.4861111111111117E-2</v>
      </c>
      <c r="M3" s="9">
        <f t="shared" ref="M3:M5" si="6">L3^2</f>
        <v>3.0097415123456796E-3</v>
      </c>
      <c r="N3" s="6">
        <v>-1.31506854</v>
      </c>
      <c r="O3" s="7">
        <v>3.68493146</v>
      </c>
      <c r="P3" s="9">
        <f t="shared" ref="P3:P5" si="7">(N3/C3)^2</f>
        <v>3.0024396960030061E-3</v>
      </c>
    </row>
    <row r="4" spans="1:16" x14ac:dyDescent="0.2">
      <c r="A4">
        <v>2</v>
      </c>
      <c r="B4">
        <v>6</v>
      </c>
      <c r="C4">
        <v>26</v>
      </c>
      <c r="E4">
        <f t="shared" si="0"/>
        <v>-1.3</v>
      </c>
      <c r="F4">
        <f t="shared" si="1"/>
        <v>4.7</v>
      </c>
      <c r="G4" s="9">
        <f t="shared" si="2"/>
        <v>2.5000000000000005E-3</v>
      </c>
      <c r="H4" s="2">
        <f t="shared" si="3"/>
        <v>0</v>
      </c>
      <c r="J4">
        <f t="shared" ref="J4:J5" si="8">F4-H$2/I$2</f>
        <v>4.5833333333333339</v>
      </c>
      <c r="K4">
        <f t="shared" si="4"/>
        <v>-1.4166666666666661</v>
      </c>
      <c r="L4">
        <f t="shared" si="5"/>
        <v>-5.4487179487179467E-2</v>
      </c>
      <c r="M4" s="9">
        <f t="shared" si="6"/>
        <v>2.968852728468111E-3</v>
      </c>
      <c r="N4" s="4">
        <v>-1.4246575800000001</v>
      </c>
      <c r="O4" s="7">
        <v>4.5753424200000001</v>
      </c>
      <c r="P4" s="9">
        <f t="shared" si="7"/>
        <v>3.0024396749281906E-3</v>
      </c>
    </row>
    <row r="5" spans="1:16" s="1" customFormat="1" ht="15.75" x14ac:dyDescent="0.25">
      <c r="A5" s="1">
        <v>3</v>
      </c>
      <c r="B5" s="1">
        <v>8</v>
      </c>
      <c r="C5" s="1">
        <v>23</v>
      </c>
      <c r="E5" s="1">
        <f t="shared" si="0"/>
        <v>-1.1499999999999999</v>
      </c>
      <c r="F5" s="1">
        <f t="shared" si="1"/>
        <v>6.85</v>
      </c>
      <c r="G5" s="10">
        <f t="shared" si="2"/>
        <v>2.4999999999999996E-3</v>
      </c>
      <c r="H5" s="3">
        <f t="shared" si="3"/>
        <v>0</v>
      </c>
      <c r="J5" s="1">
        <f t="shared" si="8"/>
        <v>6.7333333333333325</v>
      </c>
      <c r="K5" s="1">
        <f t="shared" si="4"/>
        <v>-1.2666666666666675</v>
      </c>
      <c r="L5" s="1">
        <f t="shared" si="5"/>
        <v>-5.5072463768115976E-2</v>
      </c>
      <c r="M5" s="10">
        <f t="shared" si="6"/>
        <v>3.0329762654904471E-3</v>
      </c>
      <c r="N5" s="8">
        <v>-1.2602740100000001</v>
      </c>
      <c r="O5" s="6">
        <v>6.7397259900000002</v>
      </c>
      <c r="P5" s="9">
        <f t="shared" si="7"/>
        <v>3.0024396602674488E-3</v>
      </c>
    </row>
    <row r="6" spans="1:16" x14ac:dyDescent="0.2">
      <c r="B6">
        <f>SUM(B2:B5)</f>
        <v>20</v>
      </c>
      <c r="C6">
        <f>SUM(C2:C5)</f>
        <v>100</v>
      </c>
      <c r="D6">
        <f t="shared" ref="D6:E6" si="9">SUM(D2:D5)</f>
        <v>-5</v>
      </c>
      <c r="E6">
        <f t="shared" si="9"/>
        <v>-5</v>
      </c>
      <c r="F6">
        <f t="shared" ref="F6:G6" si="10">SUM(F2:F5)</f>
        <v>15</v>
      </c>
      <c r="G6" s="9">
        <f t="shared" si="10"/>
        <v>0.01</v>
      </c>
      <c r="H6" s="2">
        <f t="shared" ref="H6" si="11">SUM(H2:H5)</f>
        <v>0.35000000000000009</v>
      </c>
      <c r="I6">
        <f t="shared" ref="I6" si="12">SUM(I2:I5)</f>
        <v>3</v>
      </c>
      <c r="J6">
        <f t="shared" ref="J6" si="13">SUM(J2:J5)</f>
        <v>15</v>
      </c>
      <c r="K6">
        <f t="shared" si="4"/>
        <v>-5</v>
      </c>
      <c r="M6" s="9">
        <f>SUM(M2:M5)</f>
        <v>1.0383312618787091E-2</v>
      </c>
      <c r="N6" s="7">
        <f>SUM(N2:N5)</f>
        <v>-5</v>
      </c>
      <c r="O6" s="7">
        <f>SUM(O2:O5)</f>
        <v>15.00000000410221</v>
      </c>
      <c r="P6" s="9">
        <f>SUM(P2:P5)</f>
        <v>1.0379060787028573E-2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1894-97EC-40C3-90DC-7CB853C0AF8D}">
  <dimension ref="A1:L24"/>
  <sheetViews>
    <sheetView tabSelected="1" workbookViewId="0">
      <selection activeCell="J26" sqref="J26"/>
    </sheetView>
  </sheetViews>
  <sheetFormatPr defaultRowHeight="15" x14ac:dyDescent="0.2"/>
  <cols>
    <col min="2" max="5" width="9.6640625" bestFit="1" customWidth="1"/>
    <col min="9" max="9" width="27.21875" bestFit="1" customWidth="1"/>
    <col min="10" max="10" width="25.44140625" bestFit="1" customWidth="1"/>
  </cols>
  <sheetData>
    <row r="1" spans="1:12" ht="15.75" x14ac:dyDescent="0.25">
      <c r="A1" t="s">
        <v>19</v>
      </c>
      <c r="I1" s="16" t="s">
        <v>28</v>
      </c>
    </row>
    <row r="2" spans="1:12" x14ac:dyDescent="0.2">
      <c r="B2">
        <v>2001</v>
      </c>
      <c r="C2">
        <v>2002</v>
      </c>
      <c r="D2">
        <v>2003</v>
      </c>
      <c r="E2">
        <v>2004</v>
      </c>
      <c r="I2" t="s">
        <v>22</v>
      </c>
      <c r="J2" t="s">
        <v>23</v>
      </c>
    </row>
    <row r="3" spans="1:12" ht="15.75" x14ac:dyDescent="0.25">
      <c r="A3" t="s">
        <v>15</v>
      </c>
      <c r="B3" s="13">
        <v>15</v>
      </c>
      <c r="C3">
        <v>13</v>
      </c>
      <c r="D3" s="14">
        <v>17</v>
      </c>
      <c r="E3">
        <v>14</v>
      </c>
      <c r="I3" t="s">
        <v>24</v>
      </c>
      <c r="J3" t="s">
        <v>25</v>
      </c>
    </row>
    <row r="4" spans="1:12" x14ac:dyDescent="0.2">
      <c r="A4" t="s">
        <v>16</v>
      </c>
      <c r="B4" s="14">
        <v>12</v>
      </c>
      <c r="C4">
        <v>17</v>
      </c>
      <c r="D4">
        <v>18</v>
      </c>
      <c r="E4">
        <v>19</v>
      </c>
      <c r="I4" t="s">
        <v>26</v>
      </c>
      <c r="J4" t="s">
        <v>27</v>
      </c>
    </row>
    <row r="5" spans="1:12" s="1" customFormat="1" x14ac:dyDescent="0.2">
      <c r="A5" s="1" t="s">
        <v>17</v>
      </c>
      <c r="B5" s="1">
        <v>10</v>
      </c>
      <c r="C5" s="1">
        <v>10</v>
      </c>
      <c r="D5" s="1">
        <v>12</v>
      </c>
      <c r="E5" s="1">
        <v>10</v>
      </c>
      <c r="I5" s="1" t="s">
        <v>35</v>
      </c>
      <c r="J5" s="1" t="s">
        <v>36</v>
      </c>
    </row>
    <row r="6" spans="1:12" ht="15.75" x14ac:dyDescent="0.25">
      <c r="A6" s="12" t="s">
        <v>18</v>
      </c>
      <c r="B6">
        <f>SUM(B3:B5)</f>
        <v>37</v>
      </c>
      <c r="C6">
        <f t="shared" ref="C6:E6" si="0">SUM(C3:C5)</f>
        <v>40</v>
      </c>
      <c r="D6">
        <f t="shared" si="0"/>
        <v>47</v>
      </c>
      <c r="E6">
        <f t="shared" si="0"/>
        <v>43</v>
      </c>
      <c r="I6" s="16" t="s">
        <v>29</v>
      </c>
    </row>
    <row r="7" spans="1:12" x14ac:dyDescent="0.2">
      <c r="I7" s="12" t="s">
        <v>30</v>
      </c>
      <c r="J7" t="s">
        <v>31</v>
      </c>
    </row>
    <row r="8" spans="1:12" x14ac:dyDescent="0.2">
      <c r="A8" t="s">
        <v>20</v>
      </c>
      <c r="I8" s="12" t="s">
        <v>32</v>
      </c>
      <c r="J8" t="s">
        <v>33</v>
      </c>
    </row>
    <row r="9" spans="1:12" x14ac:dyDescent="0.2">
      <c r="B9">
        <v>2001</v>
      </c>
      <c r="C9">
        <v>2002</v>
      </c>
      <c r="D9">
        <v>2003</v>
      </c>
      <c r="E9">
        <v>2004</v>
      </c>
    </row>
    <row r="10" spans="1:12" ht="15.75" x14ac:dyDescent="0.25">
      <c r="A10" t="s">
        <v>15</v>
      </c>
      <c r="B10" s="13">
        <v>15</v>
      </c>
      <c r="C10">
        <v>13</v>
      </c>
      <c r="D10" s="14">
        <f>(C10+E10)/2</f>
        <v>13.5</v>
      </c>
      <c r="E10">
        <f>E3</f>
        <v>14</v>
      </c>
    </row>
    <row r="11" spans="1:12" x14ac:dyDescent="0.2">
      <c r="A11" t="s">
        <v>16</v>
      </c>
      <c r="B11" s="14">
        <f>C11-(D11-C11)</f>
        <v>16</v>
      </c>
      <c r="C11">
        <v>17</v>
      </c>
      <c r="D11">
        <v>18</v>
      </c>
      <c r="E11">
        <f t="shared" ref="E11:E12" si="1">E4</f>
        <v>19</v>
      </c>
    </row>
    <row r="12" spans="1:12" s="1" customFormat="1" x14ac:dyDescent="0.2">
      <c r="A12" s="1" t="s">
        <v>17</v>
      </c>
      <c r="B12" s="1">
        <v>10</v>
      </c>
      <c r="C12" s="1">
        <v>10</v>
      </c>
      <c r="D12" s="1">
        <v>12</v>
      </c>
      <c r="E12" s="1">
        <f t="shared" si="1"/>
        <v>10</v>
      </c>
    </row>
    <row r="13" spans="1:12" ht="15.75" x14ac:dyDescent="0.25">
      <c r="A13" s="12" t="s">
        <v>18</v>
      </c>
      <c r="B13">
        <f>SUM(B10:B12)</f>
        <v>41</v>
      </c>
      <c r="C13">
        <f t="shared" ref="C13" si="2">SUM(C10:C12)</f>
        <v>40</v>
      </c>
      <c r="D13">
        <f t="shared" ref="D13" si="3">SUM(D10:D12)</f>
        <v>43.5</v>
      </c>
      <c r="E13">
        <f t="shared" ref="E13" si="4">SUM(E10:E12)</f>
        <v>43</v>
      </c>
      <c r="I13" s="16" t="s">
        <v>34</v>
      </c>
    </row>
    <row r="14" spans="1:12" x14ac:dyDescent="0.2">
      <c r="I14" t="s">
        <v>37</v>
      </c>
      <c r="J14" t="s">
        <v>38</v>
      </c>
    </row>
    <row r="15" spans="1:12" x14ac:dyDescent="0.2">
      <c r="A15" t="s">
        <v>21</v>
      </c>
      <c r="I15" t="s">
        <v>39</v>
      </c>
      <c r="J15" t="s">
        <v>40</v>
      </c>
      <c r="K15" t="s">
        <v>41</v>
      </c>
      <c r="L15" t="s">
        <v>42</v>
      </c>
    </row>
    <row r="16" spans="1:12" x14ac:dyDescent="0.2">
      <c r="B16">
        <v>2001</v>
      </c>
      <c r="C16">
        <v>2002</v>
      </c>
      <c r="D16">
        <v>2003</v>
      </c>
      <c r="E16">
        <v>2004</v>
      </c>
    </row>
    <row r="17" spans="1:9" ht="15.75" x14ac:dyDescent="0.25">
      <c r="A17" t="s">
        <v>15</v>
      </c>
      <c r="B17" s="6">
        <f>B10*B$6/B$13</f>
        <v>13.536585365853659</v>
      </c>
      <c r="C17" s="6">
        <f>C10*C$6/C$13</f>
        <v>13</v>
      </c>
      <c r="D17" s="6">
        <f>D10*D$6/D$13</f>
        <v>14.586206896551724</v>
      </c>
      <c r="E17" s="6">
        <f>E10*E$6/E$13</f>
        <v>14</v>
      </c>
      <c r="I17" t="s">
        <v>47</v>
      </c>
    </row>
    <row r="18" spans="1:9" ht="15.75" x14ac:dyDescent="0.25">
      <c r="A18" t="s">
        <v>16</v>
      </c>
      <c r="B18" s="6">
        <f>B11*B$6/B$13</f>
        <v>14.439024390243903</v>
      </c>
      <c r="C18" s="6">
        <f>C11*C$6/C$13</f>
        <v>17</v>
      </c>
      <c r="D18" s="6">
        <f>D11*D$6/D$13</f>
        <v>19.448275862068964</v>
      </c>
      <c r="E18" s="6">
        <f>E11*E$6/E$13</f>
        <v>19</v>
      </c>
    </row>
    <row r="19" spans="1:9" s="1" customFormat="1" ht="15.75" x14ac:dyDescent="0.25">
      <c r="A19" s="1" t="s">
        <v>17</v>
      </c>
      <c r="B19" s="15">
        <f>B12*B$6/B$13</f>
        <v>9.0243902439024382</v>
      </c>
      <c r="C19" s="15">
        <f>C12*C$6/C$13</f>
        <v>10</v>
      </c>
      <c r="D19" s="15">
        <f>D12*D$6/D$13</f>
        <v>12.96551724137931</v>
      </c>
      <c r="E19" s="15">
        <f>E12*E$6/E$13</f>
        <v>10</v>
      </c>
    </row>
    <row r="20" spans="1:9" x14ac:dyDescent="0.2">
      <c r="A20" s="12" t="s">
        <v>18</v>
      </c>
      <c r="B20">
        <f>SUM(B17:B19)</f>
        <v>37</v>
      </c>
      <c r="C20">
        <f t="shared" ref="C20" si="5">SUM(C17:C19)</f>
        <v>40</v>
      </c>
      <c r="D20">
        <f t="shared" ref="D20" si="6">SUM(D17:D19)</f>
        <v>47</v>
      </c>
      <c r="E20">
        <f t="shared" ref="E20" si="7">SUM(E17:E19)</f>
        <v>43</v>
      </c>
      <c r="I20" t="s">
        <v>48</v>
      </c>
    </row>
    <row r="21" spans="1:9" x14ac:dyDescent="0.2">
      <c r="I21" t="s">
        <v>43</v>
      </c>
    </row>
    <row r="22" spans="1:9" x14ac:dyDescent="0.2">
      <c r="I22" t="s">
        <v>44</v>
      </c>
    </row>
    <row r="23" spans="1:9" x14ac:dyDescent="0.2">
      <c r="I23" t="s">
        <v>45</v>
      </c>
    </row>
    <row r="24" spans="1:9" x14ac:dyDescent="0.2">
      <c r="I24" t="s">
        <v>46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A553-89A4-4DE7-93DB-9C8D18EE2C42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1d</vt:lpstr>
      <vt:lpstr>2d</vt:lpstr>
      <vt:lpstr>Sheet3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Zorinyants, George</dc:creator>
  <cp:lastModifiedBy>Zorinyants, George</cp:lastModifiedBy>
  <dcterms:created xsi:type="dcterms:W3CDTF">2025-11-12T13:47:59Z</dcterms:created>
  <dcterms:modified xsi:type="dcterms:W3CDTF">2025-11-14T15:22:52Z</dcterms:modified>
</cp:coreProperties>
</file>