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repos\desktop-tutorial\"/>
    </mc:Choice>
  </mc:AlternateContent>
  <xr:revisionPtr revIDLastSave="0" documentId="8_{57E29087-C428-4C53-8803-3429ADBA2006}" xr6:coauthVersionLast="47" xr6:coauthVersionMax="47" xr10:uidLastSave="{00000000-0000-0000-0000-000000000000}"/>
  <bookViews>
    <workbookView xWindow="-120" yWindow="-120" windowWidth="29040" windowHeight="15720" xr2:uid="{350978A1-BF14-4745-982C-7D354B8D03B7}"/>
  </bookViews>
  <sheets>
    <sheet name="Sheet1" sheetId="1" r:id="rId1"/>
    <sheet name="Sheet2" sheetId="2" r:id="rId2"/>
    <sheet name="Sheet3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3" i="1" l="1"/>
  <c r="P4" i="1"/>
  <c r="P5" i="1"/>
  <c r="P2" i="1"/>
  <c r="O6" i="1"/>
  <c r="N6" i="1"/>
  <c r="K2" i="1"/>
  <c r="L2" i="1" s="1"/>
  <c r="M2" i="1" s="1"/>
  <c r="D6" i="1"/>
  <c r="C6" i="1"/>
  <c r="E3" i="1" s="1"/>
  <c r="F3" i="1" s="1"/>
  <c r="B6" i="1"/>
  <c r="P6" i="1" l="1"/>
  <c r="G3" i="1"/>
  <c r="H3" i="1"/>
  <c r="E2" i="1"/>
  <c r="G2" i="1" s="1"/>
  <c r="E5" i="1"/>
  <c r="E4" i="1"/>
  <c r="F4" i="1" l="1"/>
  <c r="H4" i="1" s="1"/>
  <c r="G4" i="1"/>
  <c r="F5" i="1"/>
  <c r="H5" i="1" s="1"/>
  <c r="G5" i="1"/>
  <c r="G6" i="1" s="1"/>
  <c r="F2" i="1"/>
  <c r="E6" i="1"/>
  <c r="I2" i="1" l="1"/>
  <c r="I6" i="1" s="1"/>
  <c r="F6" i="1"/>
  <c r="H2" i="1"/>
  <c r="H6" i="1" l="1"/>
  <c r="J3" i="1"/>
  <c r="J4" i="1"/>
  <c r="K4" i="1" s="1"/>
  <c r="L4" i="1" s="1"/>
  <c r="M4" i="1" s="1"/>
  <c r="J5" i="1"/>
  <c r="K5" i="1" s="1"/>
  <c r="L5" i="1" s="1"/>
  <c r="M5" i="1" s="1"/>
  <c r="J6" i="1" l="1"/>
  <c r="K6" i="1" s="1"/>
  <c r="K3" i="1"/>
  <c r="L3" i="1" s="1"/>
  <c r="M3" i="1" s="1"/>
  <c r="M6" i="1" s="1"/>
</calcChain>
</file>

<file path=xl/sharedStrings.xml><?xml version="1.0" encoding="utf-8"?>
<sst xmlns="http://schemas.openxmlformats.org/spreadsheetml/2006/main" count="16" uniqueCount="15">
  <si>
    <t>values</t>
  </si>
  <si>
    <t>pattern</t>
  </si>
  <si>
    <t>Total adjustment</t>
  </si>
  <si>
    <t>Adjusted value</t>
  </si>
  <si>
    <t>Negative diff</t>
  </si>
  <si>
    <t>count_positive</t>
  </si>
  <si>
    <t>Re-adgisted</t>
  </si>
  <si>
    <t>Adjustment value</t>
  </si>
  <si>
    <t>Normalised adjustment value</t>
  </si>
  <si>
    <t>Squared</t>
  </si>
  <si>
    <t>Apportioned adjustnent</t>
  </si>
  <si>
    <t>adj_opt</t>
  </si>
  <si>
    <t>value_opt</t>
  </si>
  <si>
    <t>squared_opt</t>
  </si>
  <si>
    <t>index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</si>
</sst>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1" formatCode="0.0000E+00"/>
  </numFmts>
  <fonts count="2" x14ac:knownFonts="1">
    <font>
      <sz val="12"/>
      <color theme="1"/>
      <name val="Arial"/>
      <family val="2"/>
    </font>
    <font>
      <sz val="11"/>
      <color rgb="FF292929"/>
      <name val="Consolas"/>
      <family val="3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2" fontId="0" fillId="0" borderId="2" xfId="0" applyNumberFormat="1" applyBorder="1"/>
    <xf numFmtId="2" fontId="0" fillId="0" borderId="0" xfId="0" applyNumberFormat="1" applyFill="1" applyBorder="1"/>
    <xf numFmtId="2" fontId="1" fillId="0" borderId="0" xfId="0" applyNumberFormat="1" applyFont="1"/>
    <xf numFmtId="2" fontId="0" fillId="0" borderId="0" xfId="0" applyNumberFormat="1"/>
    <xf numFmtId="2" fontId="0" fillId="0" borderId="3" xfId="0" applyNumberFormat="1" applyBorder="1"/>
    <xf numFmtId="171" fontId="0" fillId="0" borderId="0" xfId="0" applyNumberFormat="1"/>
    <xf numFmtId="171" fontId="0" fillId="0" borderId="1" xfId="0" applyNumberFormat="1" applyBorder="1"/>
    <xf numFmtId="171" fontId="0" fillId="0" borderId="0" xfId="0" applyNumberForma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values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Sheet1!$A$2:$A$5</c:f>
              <c:numCache>
                <c:formatCode>General</c:formatCode>
                <c:ptCount val="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</c:numCache>
            </c:numRef>
          </c:xVal>
          <c:yVal>
            <c:numRef>
              <c:f>Sheet1!$B$2:$B$5</c:f>
              <c:numCache>
                <c:formatCode>General</c:formatCode>
                <c:ptCount val="4"/>
                <c:pt idx="0">
                  <c:v>1</c:v>
                </c:pt>
                <c:pt idx="1">
                  <c:v>5</c:v>
                </c:pt>
                <c:pt idx="2">
                  <c:v>6</c:v>
                </c:pt>
                <c:pt idx="3">
                  <c:v>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86A-4C8B-B6B3-65D2E2485AFA}"/>
            </c:ext>
          </c:extLst>
        </c:ser>
        <c:ser>
          <c:idx val="1"/>
          <c:order val="1"/>
          <c:tx>
            <c:strRef>
              <c:f>Sheet1!$F$1</c:f>
              <c:strCache>
                <c:ptCount val="1"/>
                <c:pt idx="0">
                  <c:v>Adjusted value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Sheet1!$A$2:$A$5</c:f>
              <c:numCache>
                <c:formatCode>General</c:formatCode>
                <c:ptCount val="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</c:numCache>
            </c:numRef>
          </c:xVal>
          <c:yVal>
            <c:numRef>
              <c:f>Sheet1!$F$2:$F$5</c:f>
              <c:numCache>
                <c:formatCode>General</c:formatCode>
                <c:ptCount val="4"/>
                <c:pt idx="0">
                  <c:v>-0.35000000000000009</c:v>
                </c:pt>
                <c:pt idx="1">
                  <c:v>3.8</c:v>
                </c:pt>
                <c:pt idx="2">
                  <c:v>4.7</c:v>
                </c:pt>
                <c:pt idx="3">
                  <c:v>6.85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86A-4C8B-B6B3-65D2E2485AFA}"/>
            </c:ext>
          </c:extLst>
        </c:ser>
        <c:ser>
          <c:idx val="2"/>
          <c:order val="2"/>
          <c:tx>
            <c:strRef>
              <c:f>Sheet1!$J$1</c:f>
              <c:strCache>
                <c:ptCount val="1"/>
                <c:pt idx="0">
                  <c:v>Re-adgisted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Sheet1!$A$2:$A$5</c:f>
              <c:numCache>
                <c:formatCode>General</c:formatCode>
                <c:ptCount val="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</c:numCache>
            </c:numRef>
          </c:xVal>
          <c:yVal>
            <c:numRef>
              <c:f>Sheet1!$J$2:$J$5</c:f>
              <c:numCache>
                <c:formatCode>General</c:formatCode>
                <c:ptCount val="4"/>
                <c:pt idx="0">
                  <c:v>0</c:v>
                </c:pt>
                <c:pt idx="1">
                  <c:v>3.6833333333333331</c:v>
                </c:pt>
                <c:pt idx="2">
                  <c:v>4.5833333333333339</c:v>
                </c:pt>
                <c:pt idx="3">
                  <c:v>6.7333333333333325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86A-4C8B-B6B3-65D2E2485AFA}"/>
            </c:ext>
          </c:extLst>
        </c:ser>
        <c:ser>
          <c:idx val="3"/>
          <c:order val="3"/>
          <c:tx>
            <c:strRef>
              <c:f>Sheet1!$O$1</c:f>
              <c:strCache>
                <c:ptCount val="1"/>
                <c:pt idx="0">
                  <c:v>value_opt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Sheet1!$A$2:$A$5</c:f>
              <c:numCache>
                <c:formatCode>General</c:formatCode>
                <c:ptCount val="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</c:numCache>
            </c:numRef>
          </c:xVal>
          <c:yVal>
            <c:numRef>
              <c:f>Sheet1!$O$2:$O$5</c:f>
              <c:numCache>
                <c:formatCode>0.00</c:formatCode>
                <c:ptCount val="4"/>
                <c:pt idx="0">
                  <c:v>1.3410221000000001E-7</c:v>
                </c:pt>
                <c:pt idx="1">
                  <c:v>3.68493146</c:v>
                </c:pt>
                <c:pt idx="2">
                  <c:v>4.5753424200000001</c:v>
                </c:pt>
                <c:pt idx="3">
                  <c:v>6.7397259900000002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86A-4C8B-B6B3-65D2E2485A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50582944"/>
        <c:axId val="650581984"/>
      </c:scatterChart>
      <c:valAx>
        <c:axId val="6505829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0581984"/>
        <c:crosses val="autoZero"/>
        <c:crossBetween val="midCat"/>
      </c:valAx>
      <c:valAx>
        <c:axId val="6505819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058294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466724</xdr:colOff>
      <xdr:row>8</xdr:row>
      <xdr:rowOff>85725</xdr:rowOff>
    </xdr:from>
    <xdr:to>
      <xdr:col>11</xdr:col>
      <xdr:colOff>1171574</xdr:colOff>
      <xdr:row>29</xdr:row>
      <xdr:rowOff>142875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9938B6F-F56D-72FA-A0C4-31770F995A5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2DE98-CA00-4465-B849-04D6668E1438}">
  <dimension ref="A1:P6"/>
  <sheetViews>
    <sheetView tabSelected="1" workbookViewId="0">
      <selection activeCell="P13" sqref="P13"/>
    </sheetView>
  </sheetViews>
  <sheetFormatPr defaultRowHeight="15" x14ac:dyDescent="0.2"/>
  <cols>
    <col min="4" max="4" width="13.6640625" bestFit="1" customWidth="1"/>
    <col min="5" max="5" width="18.88671875" bestFit="1" customWidth="1"/>
    <col min="6" max="6" width="12.21875" bestFit="1" customWidth="1"/>
    <col min="7" max="7" width="12.21875" style="9" customWidth="1"/>
    <col min="8" max="8" width="10.6640625" style="2" bestFit="1" customWidth="1"/>
    <col min="9" max="9" width="12.109375" bestFit="1" customWidth="1"/>
    <col min="10" max="10" width="10.5546875" bestFit="1" customWidth="1"/>
    <col min="11" max="11" width="14.109375" bestFit="1" customWidth="1"/>
    <col min="12" max="12" width="23.44140625" bestFit="1" customWidth="1"/>
    <col min="13" max="13" width="10.21875" style="9" bestFit="1" customWidth="1"/>
    <col min="14" max="14" width="11.5546875" style="4" bestFit="1" customWidth="1"/>
    <col min="15" max="15" width="8.88671875" style="7"/>
    <col min="16" max="16" width="10.21875" style="9" bestFit="1" customWidth="1"/>
  </cols>
  <sheetData>
    <row r="1" spans="1:16" x14ac:dyDescent="0.2">
      <c r="A1" t="s">
        <v>14</v>
      </c>
      <c r="B1" t="s">
        <v>0</v>
      </c>
      <c r="C1" t="s">
        <v>1</v>
      </c>
      <c r="D1" t="s">
        <v>2</v>
      </c>
      <c r="E1" t="s">
        <v>10</v>
      </c>
      <c r="F1" t="s">
        <v>3</v>
      </c>
      <c r="G1" s="9" t="s">
        <v>9</v>
      </c>
      <c r="H1" s="2" t="s">
        <v>4</v>
      </c>
      <c r="I1" t="s">
        <v>5</v>
      </c>
      <c r="J1" t="s">
        <v>6</v>
      </c>
      <c r="K1" t="s">
        <v>7</v>
      </c>
      <c r="L1" t="s">
        <v>8</v>
      </c>
      <c r="M1" s="9" t="s">
        <v>9</v>
      </c>
      <c r="N1" s="4" t="s">
        <v>11</v>
      </c>
      <c r="O1" s="5" t="s">
        <v>12</v>
      </c>
      <c r="P1" s="11" t="s">
        <v>13</v>
      </c>
    </row>
    <row r="2" spans="1:16" ht="15.75" x14ac:dyDescent="0.25">
      <c r="A2">
        <v>0</v>
      </c>
      <c r="B2">
        <v>1</v>
      </c>
      <c r="C2">
        <v>27</v>
      </c>
      <c r="D2">
        <v>-5</v>
      </c>
      <c r="E2">
        <f>D$2*C2/C$6</f>
        <v>-1.35</v>
      </c>
      <c r="F2">
        <f>B2+E2</f>
        <v>-0.35000000000000009</v>
      </c>
      <c r="G2" s="9">
        <f>(E2/C2)^2</f>
        <v>2.5000000000000005E-3</v>
      </c>
      <c r="H2" s="2">
        <f>IF(F2&lt;0, -F2, 0)</f>
        <v>0.35000000000000009</v>
      </c>
      <c r="I2">
        <f>COUNTIF(F2:F5, "&gt;0")</f>
        <v>3</v>
      </c>
      <c r="J2">
        <v>0</v>
      </c>
      <c r="K2">
        <f>J2-B2</f>
        <v>-1</v>
      </c>
      <c r="L2">
        <f>K2/C2</f>
        <v>-3.7037037037037035E-2</v>
      </c>
      <c r="M2" s="9">
        <f>L2^2</f>
        <v>1.3717421124828531E-3</v>
      </c>
      <c r="N2" s="6">
        <v>-0.99999987000000001</v>
      </c>
      <c r="O2" s="7">
        <v>1.3410221000000001E-7</v>
      </c>
      <c r="P2" s="9">
        <f>(N2/C2)^2</f>
        <v>1.3717417558299274E-3</v>
      </c>
    </row>
    <row r="3" spans="1:16" ht="15.75" x14ac:dyDescent="0.25">
      <c r="A3">
        <v>1</v>
      </c>
      <c r="B3">
        <v>5</v>
      </c>
      <c r="C3">
        <v>24</v>
      </c>
      <c r="E3">
        <f t="shared" ref="E3:E5" si="0">D$2*C3/C$6</f>
        <v>-1.2</v>
      </c>
      <c r="F3">
        <f t="shared" ref="F3:F5" si="1">B3+E3</f>
        <v>3.8</v>
      </c>
      <c r="G3" s="9">
        <f t="shared" ref="G3:G5" si="2">(E3/C3)^2</f>
        <v>2.4999999999999996E-3</v>
      </c>
      <c r="H3" s="2">
        <f t="shared" ref="H3:H5" si="3">IF(F3&lt;0, -F3, 0)</f>
        <v>0</v>
      </c>
      <c r="J3">
        <f>F3-H$2/I$2</f>
        <v>3.6833333333333331</v>
      </c>
      <c r="K3">
        <f t="shared" ref="K3:K6" si="4">J3-B3</f>
        <v>-1.3166666666666669</v>
      </c>
      <c r="L3">
        <f t="shared" ref="L3:L5" si="5">K3/C3</f>
        <v>-5.4861111111111117E-2</v>
      </c>
      <c r="M3" s="9">
        <f t="shared" ref="M3:M5" si="6">L3^2</f>
        <v>3.0097415123456796E-3</v>
      </c>
      <c r="N3" s="6">
        <v>-1.31506854</v>
      </c>
      <c r="O3" s="7">
        <v>3.68493146</v>
      </c>
      <c r="P3" s="9">
        <f t="shared" ref="P3:P5" si="7">(N3/C3)^2</f>
        <v>3.0024396960030061E-3</v>
      </c>
    </row>
    <row r="4" spans="1:16" x14ac:dyDescent="0.2">
      <c r="A4">
        <v>2</v>
      </c>
      <c r="B4">
        <v>6</v>
      </c>
      <c r="C4">
        <v>26</v>
      </c>
      <c r="E4">
        <f t="shared" si="0"/>
        <v>-1.3</v>
      </c>
      <c r="F4">
        <f t="shared" si="1"/>
        <v>4.7</v>
      </c>
      <c r="G4" s="9">
        <f t="shared" si="2"/>
        <v>2.5000000000000005E-3</v>
      </c>
      <c r="H4" s="2">
        <f t="shared" si="3"/>
        <v>0</v>
      </c>
      <c r="J4">
        <f t="shared" ref="J4:J5" si="8">F4-H$2/I$2</f>
        <v>4.5833333333333339</v>
      </c>
      <c r="K4">
        <f t="shared" si="4"/>
        <v>-1.4166666666666661</v>
      </c>
      <c r="L4">
        <f t="shared" si="5"/>
        <v>-5.4487179487179467E-2</v>
      </c>
      <c r="M4" s="9">
        <f t="shared" si="6"/>
        <v>2.968852728468111E-3</v>
      </c>
      <c r="N4" s="4">
        <v>-1.4246575800000001</v>
      </c>
      <c r="O4" s="7">
        <v>4.5753424200000001</v>
      </c>
      <c r="P4" s="9">
        <f t="shared" si="7"/>
        <v>3.0024396749281906E-3</v>
      </c>
    </row>
    <row r="5" spans="1:16" s="1" customFormat="1" ht="15.75" x14ac:dyDescent="0.25">
      <c r="A5" s="1">
        <v>3</v>
      </c>
      <c r="B5" s="1">
        <v>8</v>
      </c>
      <c r="C5" s="1">
        <v>23</v>
      </c>
      <c r="E5" s="1">
        <f t="shared" si="0"/>
        <v>-1.1499999999999999</v>
      </c>
      <c r="F5" s="1">
        <f t="shared" si="1"/>
        <v>6.85</v>
      </c>
      <c r="G5" s="10">
        <f t="shared" si="2"/>
        <v>2.4999999999999996E-3</v>
      </c>
      <c r="H5" s="3">
        <f t="shared" si="3"/>
        <v>0</v>
      </c>
      <c r="J5" s="1">
        <f t="shared" si="8"/>
        <v>6.7333333333333325</v>
      </c>
      <c r="K5" s="1">
        <f t="shared" si="4"/>
        <v>-1.2666666666666675</v>
      </c>
      <c r="L5" s="1">
        <f t="shared" si="5"/>
        <v>-5.5072463768115976E-2</v>
      </c>
      <c r="M5" s="10">
        <f t="shared" si="6"/>
        <v>3.0329762654904471E-3</v>
      </c>
      <c r="N5" s="8">
        <v>-1.2602740100000001</v>
      </c>
      <c r="O5" s="6">
        <v>6.7397259900000002</v>
      </c>
      <c r="P5" s="9">
        <f t="shared" si="7"/>
        <v>3.0024396602674488E-3</v>
      </c>
    </row>
    <row r="6" spans="1:16" x14ac:dyDescent="0.2">
      <c r="B6">
        <f>SUM(B2:B5)</f>
        <v>20</v>
      </c>
      <c r="C6">
        <f>SUM(C2:C5)</f>
        <v>100</v>
      </c>
      <c r="D6">
        <f t="shared" ref="D6:E6" si="9">SUM(D2:D5)</f>
        <v>-5</v>
      </c>
      <c r="E6">
        <f t="shared" si="9"/>
        <v>-5</v>
      </c>
      <c r="F6">
        <f t="shared" ref="F6:G6" si="10">SUM(F2:F5)</f>
        <v>15</v>
      </c>
      <c r="G6" s="9">
        <f t="shared" si="10"/>
        <v>0.01</v>
      </c>
      <c r="H6" s="2">
        <f t="shared" ref="H6" si="11">SUM(H2:H5)</f>
        <v>0.35000000000000009</v>
      </c>
      <c r="I6">
        <f t="shared" ref="I6" si="12">SUM(I2:I5)</f>
        <v>3</v>
      </c>
      <c r="J6">
        <f t="shared" ref="J6" si="13">SUM(J2:J5)</f>
        <v>15</v>
      </c>
      <c r="K6">
        <f t="shared" si="4"/>
        <v>-5</v>
      </c>
      <c r="M6" s="9">
        <f>SUM(M2:M5)</f>
        <v>1.0383312618787091E-2</v>
      </c>
      <c r="N6" s="7">
        <f>SUM(N2:N5)</f>
        <v>-5</v>
      </c>
      <c r="O6" s="7">
        <f>SUM(O2:O5)</f>
        <v>15.00000000410221</v>
      </c>
      <c r="P6" s="9">
        <f>SUM(P2:P5)</f>
        <v>1.0379060787028573E-2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E1894-97EC-40C3-90DC-7CB853C0AF8D}">
  <dimension ref="A1"/>
  <sheetViews>
    <sheetView workbookViewId="0"/>
  </sheetViews>
  <sheetFormatPr defaultRowHeight="15" x14ac:dyDescent="0.2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A4A553-89A4-4DE7-93DB-9C8D18EE2C42}">
  <dimension ref="A1"/>
  <sheetViews>
    <sheetView workbookViewId="0"/>
  </sheetViews>
  <sheetFormatPr defaultRowHeight="15" x14ac:dyDescent="0.2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>Office for National Statistics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Zorinyants, George</dc:creator>
  <cp:lastModifiedBy>Zorinyants, George</cp:lastModifiedBy>
  <dcterms:created xsi:type="dcterms:W3CDTF">2025-11-12T13:47:59Z</dcterms:created>
  <dcterms:modified xsi:type="dcterms:W3CDTF">2025-11-12T15:19:27Z</dcterms:modified>
</cp:coreProperties>
</file>